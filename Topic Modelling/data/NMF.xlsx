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rnig\Documents\Coding_2024\python_work\UpGrad\DS_C70\Specialization_NLP\Semantic-Processing\semantic_processing_upgrad\Topic Modelling\data\"/>
    </mc:Choice>
  </mc:AlternateContent>
  <xr:revisionPtr revIDLastSave="0" documentId="13_ncr:1_{8C01814E-CF23-43EE-9A46-0CF5B3038CB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MF_demo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8" i="1" l="1" a="1"/>
  <c r="G38" i="1" s="1"/>
  <c r="O22" i="2" a="1"/>
  <c r="O22" i="2" s="1"/>
  <c r="E19" i="2" a="1"/>
  <c r="E19" i="2" s="1"/>
  <c r="O13" i="2" a="1"/>
  <c r="O13" i="2" s="1"/>
  <c r="E13" i="2" a="1"/>
  <c r="E13" i="2" s="1"/>
  <c r="E5" i="2" a="1"/>
  <c r="E5" i="2" s="1"/>
  <c r="G24" i="1" a="1"/>
  <c r="K26" i="1" s="1"/>
  <c r="J42" i="1" l="1"/>
  <c r="L43" i="1"/>
  <c r="H42" i="1"/>
  <c r="L40" i="1"/>
  <c r="H39" i="1"/>
  <c r="N44" i="1"/>
  <c r="K43" i="1"/>
  <c r="G42" i="1"/>
  <c r="K40" i="1"/>
  <c r="G39" i="1"/>
  <c r="J43" i="1"/>
  <c r="N41" i="1"/>
  <c r="J40" i="1"/>
  <c r="N38" i="1"/>
  <c r="M44" i="1"/>
  <c r="I43" i="1"/>
  <c r="M38" i="1"/>
  <c r="N40" i="1"/>
  <c r="M40" i="1"/>
  <c r="I40" i="1"/>
  <c r="L44" i="1"/>
  <c r="H43" i="1"/>
  <c r="L41" i="1"/>
  <c r="H40" i="1"/>
  <c r="L38" i="1"/>
  <c r="N43" i="1"/>
  <c r="M41" i="1"/>
  <c r="K44" i="1"/>
  <c r="G43" i="1"/>
  <c r="K41" i="1"/>
  <c r="G40" i="1"/>
  <c r="K38" i="1"/>
  <c r="M43" i="1"/>
  <c r="J41" i="1"/>
  <c r="J39" i="1"/>
  <c r="I39" i="1"/>
  <c r="J44" i="1"/>
  <c r="N42" i="1"/>
  <c r="N39" i="1"/>
  <c r="J38" i="1"/>
  <c r="I44" i="1"/>
  <c r="M42" i="1"/>
  <c r="I41" i="1"/>
  <c r="M39" i="1"/>
  <c r="I38" i="1"/>
  <c r="I42" i="1"/>
  <c r="H44" i="1"/>
  <c r="L42" i="1"/>
  <c r="H41" i="1"/>
  <c r="L39" i="1"/>
  <c r="H38" i="1"/>
  <c r="G44" i="1"/>
  <c r="K42" i="1"/>
  <c r="G41" i="1"/>
  <c r="K39" i="1"/>
  <c r="N24" i="1"/>
  <c r="N27" i="1"/>
  <c r="N30" i="1"/>
  <c r="K29" i="1"/>
  <c r="L26" i="1"/>
  <c r="H28" i="1"/>
  <c r="L29" i="1"/>
  <c r="I25" i="1"/>
  <c r="M26" i="1"/>
  <c r="I28" i="1"/>
  <c r="M29" i="1"/>
  <c r="G24" i="1"/>
  <c r="J25" i="1"/>
  <c r="J28" i="1"/>
  <c r="N29" i="1"/>
  <c r="N26" i="1"/>
  <c r="H24" i="1"/>
  <c r="L25" i="1"/>
  <c r="H27" i="1"/>
  <c r="L28" i="1"/>
  <c r="H30" i="1"/>
  <c r="I24" i="1"/>
  <c r="M25" i="1"/>
  <c r="I27" i="1"/>
  <c r="M28" i="1"/>
  <c r="I30" i="1"/>
  <c r="P43" i="1"/>
  <c r="K25" i="1"/>
  <c r="G27" i="1"/>
  <c r="K28" i="1"/>
  <c r="G30" i="1"/>
  <c r="J24" i="1"/>
  <c r="N25" i="1"/>
  <c r="J27" i="1"/>
  <c r="N28" i="1"/>
  <c r="J30" i="1"/>
  <c r="K24" i="1"/>
  <c r="G26" i="1"/>
  <c r="K27" i="1"/>
  <c r="G29" i="1"/>
  <c r="K30" i="1"/>
  <c r="G25" i="1"/>
  <c r="G28" i="1"/>
  <c r="H25" i="1"/>
  <c r="L24" i="1"/>
  <c r="H26" i="1"/>
  <c r="L27" i="1"/>
  <c r="H29" i="1"/>
  <c r="L30" i="1"/>
  <c r="M24" i="1"/>
  <c r="I26" i="1"/>
  <c r="M27" i="1"/>
  <c r="I29" i="1"/>
  <c r="M30" i="1"/>
  <c r="J26" i="1"/>
  <c r="J29" i="1"/>
  <c r="P38" i="1" l="1"/>
  <c r="P42" i="1"/>
  <c r="P44" i="1"/>
  <c r="P39" i="1"/>
  <c r="P40" i="1"/>
  <c r="P41" i="1"/>
  <c r="R25" i="1" l="1"/>
  <c r="P45" i="1"/>
</calcChain>
</file>

<file path=xl/sharedStrings.xml><?xml version="1.0" encoding="utf-8"?>
<sst xmlns="http://schemas.openxmlformats.org/spreadsheetml/2006/main" count="8" uniqueCount="7">
  <si>
    <t xml:space="preserve">Non Negative Matrix Factorisation </t>
  </si>
  <si>
    <t>X</t>
  </si>
  <si>
    <t>=</t>
  </si>
  <si>
    <t>W</t>
  </si>
  <si>
    <t>H</t>
  </si>
  <si>
    <t>WH</t>
  </si>
  <si>
    <t>Norm (||X-WH||)2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</si>
</sst>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2"/>
      <color theme="1"/>
      <name val="Calibri"/>
      <scheme val="minor"/>
    </font>
    <font>
      <sz val="12"/>
      <color theme="1"/>
      <name val="Calibri"/>
      <family val="2"/>
    </font>
    <font>
      <b/>
      <sz val="14"/>
      <color theme="1"/>
      <name val="Calibri"/>
      <family val="2"/>
    </font>
    <font>
      <sz val="12"/>
      <name val="Calibri"/>
      <family val="2"/>
    </font>
    <font>
      <b/>
      <sz val="12"/>
      <color theme="1"/>
      <name val="Calibri"/>
      <family val="2"/>
    </font>
    <font>
      <sz val="12"/>
      <color rgb="FF000000"/>
      <name val="Calibri"/>
      <family val="2"/>
    </font>
    <font>
      <sz val="14"/>
      <color rgb="FF000000"/>
      <name val="Courier New"/>
      <family val="3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2" fontId="1" fillId="0" borderId="0" xfId="0" applyNumberFormat="1" applyFont="1"/>
    <xf numFmtId="2" fontId="1" fillId="0" borderId="1" xfId="0" applyNumberFormat="1" applyFont="1" applyBorder="1"/>
    <xf numFmtId="2" fontId="1" fillId="0" borderId="2" xfId="0" applyNumberFormat="1" applyFont="1" applyBorder="1"/>
    <xf numFmtId="0" fontId="1" fillId="0" borderId="2" xfId="0" applyFont="1" applyBorder="1"/>
    <xf numFmtId="0" fontId="1" fillId="0" borderId="3" xfId="0" applyFont="1" applyBorder="1"/>
    <xf numFmtId="2" fontId="1" fillId="0" borderId="4" xfId="0" applyNumberFormat="1" applyFont="1" applyBorder="1"/>
    <xf numFmtId="0" fontId="1" fillId="0" borderId="0" xfId="0" applyFont="1"/>
    <xf numFmtId="0" fontId="1" fillId="0" borderId="5" xfId="0" applyFont="1" applyBorder="1"/>
    <xf numFmtId="0" fontId="1" fillId="0" borderId="4" xfId="0" applyFont="1" applyBorder="1"/>
    <xf numFmtId="0" fontId="1" fillId="0" borderId="0" xfId="0" applyFont="1" applyAlignment="1">
      <alignment horizontal="center"/>
    </xf>
    <xf numFmtId="2" fontId="5" fillId="0" borderId="9" xfId="0" applyNumberFormat="1" applyFont="1" applyBorder="1"/>
    <xf numFmtId="2" fontId="5" fillId="0" borderId="0" xfId="0" applyNumberFormat="1" applyFont="1"/>
    <xf numFmtId="2" fontId="1" fillId="0" borderId="9" xfId="0" applyNumberFormat="1" applyFont="1" applyBorder="1"/>
    <xf numFmtId="164" fontId="1" fillId="0" borderId="9" xfId="0" applyNumberFormat="1" applyFont="1" applyBorder="1"/>
    <xf numFmtId="2" fontId="5" fillId="0" borderId="0" xfId="0" applyNumberFormat="1" applyFont="1" applyAlignment="1">
      <alignment horizontal="center"/>
    </xf>
    <xf numFmtId="0" fontId="6" fillId="0" borderId="4" xfId="0" applyFont="1" applyBorder="1"/>
    <xf numFmtId="0" fontId="1" fillId="0" borderId="10" xfId="0" applyFont="1" applyBorder="1"/>
    <xf numFmtId="0" fontId="1" fillId="0" borderId="11" xfId="0" applyFont="1" applyBorder="1"/>
    <xf numFmtId="2" fontId="1" fillId="0" borderId="11" xfId="0" applyNumberFormat="1" applyFont="1" applyBorder="1"/>
    <xf numFmtId="0" fontId="1" fillId="0" borderId="12" xfId="0" applyFont="1" applyBorder="1"/>
    <xf numFmtId="0" fontId="7" fillId="0" borderId="0" xfId="0" applyFont="1"/>
    <xf numFmtId="2" fontId="2" fillId="0" borderId="6" xfId="0" applyNumberFormat="1" applyFont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/>
    <xf numFmtId="0" fontId="4" fillId="0" borderId="6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AA1000"/>
  <sheetViews>
    <sheetView tabSelected="1" topLeftCell="A19" zoomScaleNormal="100" workbookViewId="0">
      <selection activeCell="J38" sqref="J38"/>
    </sheetView>
  </sheetViews>
  <sheetFormatPr defaultColWidth="11.25" defaultRowHeight="15" customHeight="1" x14ac:dyDescent="0.25"/>
  <cols>
    <col min="1" max="3" width="10.5" customWidth="1"/>
    <col min="4" max="4" width="13.375" customWidth="1"/>
    <col min="5" max="5" width="13.5" customWidth="1"/>
    <col min="6" max="6" width="4.375" bestFit="1" customWidth="1"/>
    <col min="7" max="14" width="7.75" bestFit="1" customWidth="1"/>
    <col min="15" max="15" width="1.875" bestFit="1" customWidth="1"/>
    <col min="16" max="16" width="7.75" bestFit="1" customWidth="1"/>
    <col min="17" max="17" width="4.375" bestFit="1" customWidth="1"/>
    <col min="18" max="18" width="1.875" bestFit="1" customWidth="1"/>
    <col min="19" max="26" width="4.375" bestFit="1" customWidth="1"/>
    <col min="27" max="27" width="10.5" customWidth="1"/>
  </cols>
  <sheetData>
    <row r="1" spans="5:27" ht="15.75" customHeight="1" x14ac:dyDescent="0.25"/>
    <row r="2" spans="5:27" ht="15.75" customHeight="1" x14ac:dyDescent="0.25"/>
    <row r="3" spans="5:27" ht="15.75" customHeight="1" x14ac:dyDescent="0.25"/>
    <row r="4" spans="5:27" ht="15.75" customHeight="1" x14ac:dyDescent="0.25"/>
    <row r="5" spans="5:27" ht="15.75" customHeight="1" x14ac:dyDescent="0.25">
      <c r="E5" s="1"/>
      <c r="F5" s="1"/>
      <c r="G5" s="1"/>
    </row>
    <row r="6" spans="5:27" ht="15.75" customHeight="1" x14ac:dyDescent="0.25">
      <c r="E6" s="1"/>
      <c r="F6" s="1"/>
      <c r="G6" s="1"/>
    </row>
    <row r="7" spans="5:27" ht="15.75" customHeight="1" x14ac:dyDescent="0.25">
      <c r="E7" s="2"/>
      <c r="F7" s="3"/>
      <c r="G7" s="3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5"/>
    </row>
    <row r="8" spans="5:27" ht="15.75" customHeight="1" x14ac:dyDescent="0.25">
      <c r="E8" s="6"/>
      <c r="F8" s="1"/>
      <c r="G8" s="1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8"/>
    </row>
    <row r="9" spans="5:27" ht="15.75" customHeight="1" x14ac:dyDescent="0.3">
      <c r="E9" s="6"/>
      <c r="F9" s="1"/>
      <c r="G9" s="22" t="s">
        <v>0</v>
      </c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4"/>
      <c r="AA9" s="8"/>
    </row>
    <row r="10" spans="5:27" ht="15.75" customHeight="1" x14ac:dyDescent="0.25">
      <c r="E10" s="6"/>
      <c r="F10" s="1"/>
      <c r="G10" s="1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8"/>
    </row>
    <row r="11" spans="5:27" ht="15.75" customHeight="1" x14ac:dyDescent="0.25">
      <c r="E11" s="6"/>
      <c r="F11" s="1"/>
      <c r="G11" s="1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8"/>
    </row>
    <row r="12" spans="5:27" ht="15.75" customHeight="1" x14ac:dyDescent="0.25">
      <c r="E12" s="9"/>
      <c r="F12" s="7"/>
      <c r="G12" s="25" t="s">
        <v>1</v>
      </c>
      <c r="H12" s="23"/>
      <c r="I12" s="23"/>
      <c r="J12" s="23"/>
      <c r="K12" s="23"/>
      <c r="L12" s="23"/>
      <c r="M12" s="23"/>
      <c r="N12" s="24"/>
      <c r="O12" s="10" t="s">
        <v>2</v>
      </c>
      <c r="P12" s="25" t="s">
        <v>3</v>
      </c>
      <c r="Q12" s="24"/>
      <c r="R12" s="10" t="s">
        <v>1</v>
      </c>
      <c r="S12" s="25" t="s">
        <v>4</v>
      </c>
      <c r="T12" s="23"/>
      <c r="U12" s="23"/>
      <c r="V12" s="23"/>
      <c r="W12" s="23"/>
      <c r="X12" s="23"/>
      <c r="Y12" s="23"/>
      <c r="Z12" s="24"/>
      <c r="AA12" s="8"/>
    </row>
    <row r="13" spans="5:27" ht="15.75" customHeight="1" x14ac:dyDescent="0.25">
      <c r="E13" s="9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8"/>
    </row>
    <row r="14" spans="5:27" ht="15.75" customHeight="1" x14ac:dyDescent="0.25">
      <c r="E14" s="6"/>
      <c r="F14" s="1">
        <v>3</v>
      </c>
      <c r="G14" s="11">
        <v>1</v>
      </c>
      <c r="H14" s="11">
        <v>3</v>
      </c>
      <c r="I14" s="11">
        <v>6</v>
      </c>
      <c r="J14" s="11">
        <v>8</v>
      </c>
      <c r="K14" s="11">
        <v>1</v>
      </c>
      <c r="L14" s="11">
        <v>7</v>
      </c>
      <c r="M14" s="11">
        <v>8</v>
      </c>
      <c r="N14" s="11">
        <v>3</v>
      </c>
      <c r="O14" s="12"/>
      <c r="P14" s="13">
        <v>3.05775408</v>
      </c>
      <c r="Q14" s="14">
        <v>0.01</v>
      </c>
      <c r="R14" s="7"/>
      <c r="S14" s="13">
        <v>0.31744945000000002</v>
      </c>
      <c r="T14" s="13">
        <v>0.97140957999999999</v>
      </c>
      <c r="U14" s="13">
        <v>1.7353091599999999</v>
      </c>
      <c r="V14" s="13">
        <v>2.46062789</v>
      </c>
      <c r="W14" s="13">
        <v>0.37132987000000001</v>
      </c>
      <c r="X14" s="13">
        <v>2.3898688300000002</v>
      </c>
      <c r="Y14" s="13">
        <v>2.6394019000000002</v>
      </c>
      <c r="Z14" s="13">
        <v>1.3336770499999999</v>
      </c>
      <c r="AA14" s="8"/>
    </row>
    <row r="15" spans="5:27" ht="15.75" customHeight="1" x14ac:dyDescent="0.25">
      <c r="E15" s="6"/>
      <c r="F15" s="1">
        <v>4</v>
      </c>
      <c r="G15" s="11">
        <v>2</v>
      </c>
      <c r="H15" s="11">
        <v>4</v>
      </c>
      <c r="I15" s="11">
        <v>2</v>
      </c>
      <c r="J15" s="11">
        <v>4</v>
      </c>
      <c r="K15" s="11">
        <v>1</v>
      </c>
      <c r="L15" s="11">
        <v>6</v>
      </c>
      <c r="M15" s="11">
        <v>7</v>
      </c>
      <c r="N15" s="11">
        <v>3</v>
      </c>
      <c r="O15" s="12"/>
      <c r="P15" s="13">
        <v>2.0899927900000002</v>
      </c>
      <c r="Q15" s="13">
        <v>0.316172218</v>
      </c>
      <c r="R15" s="7"/>
      <c r="S15" s="13">
        <v>1.69250663</v>
      </c>
      <c r="T15" s="13">
        <v>1.6511290000000001</v>
      </c>
      <c r="U15" s="13">
        <v>0.91937731</v>
      </c>
      <c r="V15" s="13">
        <v>1.39436976</v>
      </c>
      <c r="W15" s="13">
        <v>1.3818969000000001</v>
      </c>
      <c r="X15" s="13">
        <v>0.76552408999999999</v>
      </c>
      <c r="Y15" s="13">
        <v>0.01</v>
      </c>
      <c r="Z15" s="13">
        <v>0.90301014999999996</v>
      </c>
      <c r="AA15" s="8"/>
    </row>
    <row r="16" spans="5:27" ht="15.75" customHeight="1" x14ac:dyDescent="0.25">
      <c r="E16" s="6"/>
      <c r="F16" s="1">
        <v>2</v>
      </c>
      <c r="G16" s="11">
        <v>3</v>
      </c>
      <c r="H16" s="11">
        <v>2</v>
      </c>
      <c r="I16" s="11">
        <v>5</v>
      </c>
      <c r="J16" s="11">
        <v>7</v>
      </c>
      <c r="K16" s="11">
        <v>8</v>
      </c>
      <c r="L16" s="11">
        <v>1</v>
      </c>
      <c r="M16" s="11">
        <v>3</v>
      </c>
      <c r="N16" s="11">
        <v>2</v>
      </c>
      <c r="O16" s="12"/>
      <c r="P16" s="13">
        <v>0.76702344700000002</v>
      </c>
      <c r="Q16" s="13">
        <v>2.4073532100000001</v>
      </c>
      <c r="R16" s="7"/>
      <c r="S16" s="7"/>
      <c r="T16" s="7"/>
      <c r="U16" s="7"/>
      <c r="V16" s="7"/>
      <c r="W16" s="7"/>
      <c r="X16" s="7"/>
      <c r="Y16" s="7"/>
      <c r="Z16" s="7"/>
      <c r="AA16" s="8"/>
    </row>
    <row r="17" spans="5:27" ht="15.75" customHeight="1" x14ac:dyDescent="0.25">
      <c r="E17" s="6"/>
      <c r="F17" s="1">
        <v>8</v>
      </c>
      <c r="G17" s="11">
        <v>7</v>
      </c>
      <c r="H17" s="11">
        <v>8</v>
      </c>
      <c r="I17" s="11">
        <v>2</v>
      </c>
      <c r="J17" s="11">
        <v>3</v>
      </c>
      <c r="K17" s="11">
        <v>2</v>
      </c>
      <c r="L17" s="11">
        <v>4</v>
      </c>
      <c r="M17" s="11">
        <v>1</v>
      </c>
      <c r="N17" s="11">
        <v>2</v>
      </c>
      <c r="O17" s="15"/>
      <c r="P17" s="13">
        <v>6.5707954299999996E-2</v>
      </c>
      <c r="Q17" s="13">
        <v>3.2508034499999998</v>
      </c>
      <c r="R17" s="7"/>
      <c r="S17" s="7"/>
      <c r="T17" s="7"/>
      <c r="U17" s="7"/>
      <c r="V17" s="7"/>
      <c r="W17" s="7"/>
      <c r="X17" s="7"/>
      <c r="Y17" s="7"/>
      <c r="Z17" s="7"/>
      <c r="AA17" s="8"/>
    </row>
    <row r="18" spans="5:27" ht="15.75" customHeight="1" x14ac:dyDescent="0.25">
      <c r="E18" s="6"/>
      <c r="F18" s="1">
        <v>3</v>
      </c>
      <c r="G18" s="11">
        <v>2</v>
      </c>
      <c r="H18" s="11">
        <v>3</v>
      </c>
      <c r="I18" s="11">
        <v>4</v>
      </c>
      <c r="J18" s="11">
        <v>5</v>
      </c>
      <c r="K18" s="11">
        <v>1</v>
      </c>
      <c r="L18" s="11">
        <v>5</v>
      </c>
      <c r="M18" s="11">
        <v>6</v>
      </c>
      <c r="N18" s="11">
        <v>2</v>
      </c>
      <c r="O18" s="12"/>
      <c r="P18" s="13">
        <v>2.2999999999999998</v>
      </c>
      <c r="Q18" s="13">
        <v>0.39024705999999998</v>
      </c>
      <c r="R18" s="7"/>
      <c r="S18" s="7"/>
      <c r="T18" s="7"/>
      <c r="U18" s="7"/>
      <c r="V18" s="7"/>
      <c r="W18" s="7"/>
      <c r="X18" s="7"/>
      <c r="Y18" s="7"/>
      <c r="Z18" s="7"/>
      <c r="AA18" s="8"/>
    </row>
    <row r="19" spans="5:27" ht="15.75" customHeight="1" x14ac:dyDescent="0.25">
      <c r="E19" s="6"/>
      <c r="F19" s="1">
        <v>3</v>
      </c>
      <c r="G19" s="11">
        <v>1</v>
      </c>
      <c r="H19" s="11">
        <v>3</v>
      </c>
      <c r="I19" s="11">
        <v>4</v>
      </c>
      <c r="J19" s="11">
        <v>6</v>
      </c>
      <c r="K19" s="11">
        <v>2</v>
      </c>
      <c r="L19" s="11">
        <v>5</v>
      </c>
      <c r="M19" s="11">
        <v>1</v>
      </c>
      <c r="N19" s="11">
        <v>8</v>
      </c>
      <c r="O19" s="12"/>
      <c r="P19" s="13">
        <v>1.4207462099999999</v>
      </c>
      <c r="Q19" s="13">
        <v>1.4782055000000001</v>
      </c>
      <c r="R19" s="7"/>
      <c r="S19" s="7"/>
      <c r="T19" s="7"/>
      <c r="U19" s="7"/>
      <c r="V19" s="7"/>
      <c r="W19" s="7"/>
      <c r="X19" s="7"/>
      <c r="Y19" s="7"/>
      <c r="Z19" s="7"/>
      <c r="AA19" s="8"/>
    </row>
    <row r="20" spans="5:27" ht="15.75" customHeight="1" x14ac:dyDescent="0.25">
      <c r="E20" s="6"/>
      <c r="F20" s="1">
        <v>2</v>
      </c>
      <c r="G20" s="11">
        <v>3</v>
      </c>
      <c r="H20" s="11">
        <v>2</v>
      </c>
      <c r="I20" s="11">
        <v>3</v>
      </c>
      <c r="J20" s="11">
        <v>5</v>
      </c>
      <c r="K20" s="11">
        <v>1</v>
      </c>
      <c r="L20" s="11">
        <v>4</v>
      </c>
      <c r="M20" s="11">
        <v>1</v>
      </c>
      <c r="N20" s="11">
        <v>2</v>
      </c>
      <c r="O20" s="12"/>
      <c r="P20" s="13">
        <v>0.91</v>
      </c>
      <c r="Q20" s="13">
        <v>1.26365554</v>
      </c>
      <c r="R20" s="7"/>
      <c r="S20" s="7"/>
      <c r="T20" s="7"/>
      <c r="U20" s="7"/>
      <c r="V20" s="7"/>
      <c r="W20" s="7"/>
      <c r="X20" s="7"/>
      <c r="Y20" s="7"/>
      <c r="Z20" s="7"/>
      <c r="AA20" s="8"/>
    </row>
    <row r="21" spans="5:27" ht="15.75" customHeight="1" x14ac:dyDescent="0.25">
      <c r="E21" s="9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8"/>
    </row>
    <row r="22" spans="5:27" ht="15.75" customHeight="1" x14ac:dyDescent="0.25">
      <c r="E22" s="9"/>
      <c r="F22" s="7"/>
      <c r="G22" s="25" t="s">
        <v>5</v>
      </c>
      <c r="H22" s="23"/>
      <c r="I22" s="23"/>
      <c r="J22" s="23"/>
      <c r="K22" s="23"/>
      <c r="L22" s="23"/>
      <c r="M22" s="23"/>
      <c r="N22" s="24"/>
      <c r="O22" s="7"/>
      <c r="P22" s="7"/>
      <c r="Q22" s="7"/>
      <c r="R22" s="25" t="s">
        <v>6</v>
      </c>
      <c r="S22" s="23"/>
      <c r="T22" s="23"/>
      <c r="U22" s="24"/>
      <c r="V22" s="7"/>
      <c r="W22" s="7"/>
      <c r="X22" s="7"/>
      <c r="Y22" s="7"/>
      <c r="Z22" s="7"/>
      <c r="AA22" s="8"/>
    </row>
    <row r="23" spans="5:27" ht="15.75" customHeight="1" x14ac:dyDescent="0.25">
      <c r="E23" s="9"/>
      <c r="F23" s="7"/>
      <c r="G23" s="10"/>
      <c r="H23" s="10"/>
      <c r="I23" s="10"/>
      <c r="J23" s="10"/>
      <c r="K23" s="10"/>
      <c r="L23" s="10"/>
      <c r="M23" s="10"/>
      <c r="N23" s="10"/>
      <c r="O23" s="7"/>
      <c r="P23" s="7"/>
      <c r="Q23" s="7"/>
      <c r="R23" s="10"/>
      <c r="S23" s="10"/>
      <c r="T23" s="10"/>
      <c r="U23" s="10"/>
      <c r="V23" s="7"/>
      <c r="W23" s="7"/>
      <c r="X23" s="7"/>
      <c r="Y23" s="7"/>
      <c r="Z23" s="7"/>
      <c r="AA23" s="8"/>
    </row>
    <row r="24" spans="5:27" ht="15.75" customHeight="1" x14ac:dyDescent="0.25">
      <c r="E24" s="9"/>
      <c r="F24" s="7"/>
      <c r="G24" s="13">
        <f t="array" ref="G24:N30">MMULT(P14:Q20,S14:Z15)</f>
        <v>0.98760741723125611</v>
      </c>
      <c r="H24" s="13">
        <v>2.9868428965960865</v>
      </c>
      <c r="I24" s="13">
        <v>5.3153424371513722</v>
      </c>
      <c r="J24" s="13">
        <v>7.5379386676092919</v>
      </c>
      <c r="K24" s="13">
        <v>1.1492543940183695</v>
      </c>
      <c r="L24" s="13">
        <v>7.3152864064973269</v>
      </c>
      <c r="M24" s="13">
        <v>8.0707419284847521</v>
      </c>
      <c r="N24" s="13">
        <v>4.087086542539863</v>
      </c>
      <c r="O24" s="1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8"/>
    </row>
    <row r="25" spans="5:27" ht="15.75" customHeight="1" x14ac:dyDescent="0.25">
      <c r="E25" s="9"/>
      <c r="F25" s="7"/>
      <c r="G25" s="13">
        <v>1.1985906368762709</v>
      </c>
      <c r="H25" s="13">
        <v>2.5522801364710501</v>
      </c>
      <c r="I25" s="13">
        <v>3.9174651961025302</v>
      </c>
      <c r="J25" s="13">
        <v>5.5835555287042418</v>
      </c>
      <c r="K25" s="13">
        <v>1.2129941589319617</v>
      </c>
      <c r="L25" s="13">
        <v>5.2368460732134681</v>
      </c>
      <c r="M25" s="13">
        <v>5.5194926630923016</v>
      </c>
      <c r="N25" s="13">
        <v>3.0728821406904823</v>
      </c>
      <c r="O25" s="1"/>
      <c r="P25" s="7"/>
      <c r="Q25" s="7"/>
      <c r="R25" s="26" t="e">
        <f ca="1">SQRT(SUM(P38:P44))</f>
        <v>#NAME?</v>
      </c>
      <c r="S25" s="23"/>
      <c r="T25" s="23"/>
      <c r="U25" s="24"/>
      <c r="V25" s="7"/>
      <c r="W25" s="7"/>
      <c r="X25" s="7"/>
      <c r="Y25" s="7"/>
      <c r="Z25" s="7"/>
      <c r="AA25" s="8"/>
    </row>
    <row r="26" spans="5:27" ht="15.75" customHeight="1" x14ac:dyDescent="0.3">
      <c r="E26" s="16"/>
      <c r="F26" s="7"/>
      <c r="G26" s="13">
        <v>4.3179524400640368</v>
      </c>
      <c r="H26" s="13">
        <v>4.7199446227745128</v>
      </c>
      <c r="I26" s="13">
        <v>3.5442887319435394</v>
      </c>
      <c r="J26" s="13">
        <v>5.2440998036350663</v>
      </c>
      <c r="K26" s="13">
        <v>3.6115326549655111</v>
      </c>
      <c r="L26" s="13">
        <v>3.6759723032582863</v>
      </c>
      <c r="M26" s="13">
        <v>2.0485566754563496</v>
      </c>
      <c r="N26" s="13">
        <v>3.1968259513408728</v>
      </c>
      <c r="O26" s="1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8"/>
    </row>
    <row r="27" spans="5:27" ht="15.75" customHeight="1" x14ac:dyDescent="0.3">
      <c r="E27" s="16"/>
      <c r="F27" s="7"/>
      <c r="G27" s="13">
        <v>5.5228653459050339</v>
      </c>
      <c r="H27" s="13">
        <v>5.4313251858842726</v>
      </c>
      <c r="I27" s="13">
        <v>3.1027385461813708</v>
      </c>
      <c r="J27" s="13">
        <v>4.6945048513290972</v>
      </c>
      <c r="K27" s="13">
        <v>4.5166745361924896</v>
      </c>
      <c r="L27" s="13">
        <v>2.6456017446947446</v>
      </c>
      <c r="M27" s="13">
        <v>0.20593773392453318</v>
      </c>
      <c r="N27" s="13">
        <v>3.0231417016573756</v>
      </c>
      <c r="O27" s="1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8"/>
    </row>
    <row r="28" spans="5:27" ht="15.75" customHeight="1" x14ac:dyDescent="0.3">
      <c r="E28" s="16"/>
      <c r="F28" s="7"/>
      <c r="G28" s="13">
        <v>1.3906294713880079</v>
      </c>
      <c r="H28" s="13">
        <v>2.8785902719307397</v>
      </c>
      <c r="I28" s="13">
        <v>4.349995360258208</v>
      </c>
      <c r="J28" s="13">
        <v>6.2035928463929046</v>
      </c>
      <c r="K28" s="13">
        <v>1.393339903448114</v>
      </c>
      <c r="L28" s="13">
        <v>5.7954418344816752</v>
      </c>
      <c r="M28" s="13">
        <v>6.0745268405999999</v>
      </c>
      <c r="N28" s="13">
        <v>3.4198542711876585</v>
      </c>
      <c r="O28" s="1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8"/>
    </row>
    <row r="29" spans="5:27" ht="15.75" customHeight="1" x14ac:dyDescent="0.3">
      <c r="E29" s="16"/>
      <c r="F29" s="7"/>
      <c r="G29" s="13">
        <v>2.9528877122065493</v>
      </c>
      <c r="H29" s="13">
        <v>3.8208344481521923</v>
      </c>
      <c r="I29" s="13">
        <v>3.824462508465488</v>
      </c>
      <c r="J29" s="13">
        <v>5.5570927972034774</v>
      </c>
      <c r="K29" s="13">
        <v>2.5702931034752425</v>
      </c>
      <c r="L29" s="13">
        <v>4.526999002840129</v>
      </c>
      <c r="M29" s="13">
        <v>3.7647023010917988</v>
      </c>
      <c r="N29" s="13">
        <v>3.229651184437305</v>
      </c>
      <c r="O29" s="1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8"/>
    </row>
    <row r="30" spans="5:27" ht="15.75" customHeight="1" x14ac:dyDescent="0.25">
      <c r="E30" s="9"/>
      <c r="F30" s="7"/>
      <c r="G30" s="13">
        <v>2.4276243789862302</v>
      </c>
      <c r="H30" s="13">
        <v>2.9704410259046599</v>
      </c>
      <c r="I30" s="13">
        <v>2.7409075667317975</v>
      </c>
      <c r="J30" s="13">
        <v>4.0011744519324708</v>
      </c>
      <c r="K30" s="13">
        <v>2.0841518550938263</v>
      </c>
      <c r="L30" s="13">
        <v>3.1421393926319592</v>
      </c>
      <c r="M30" s="13">
        <v>2.4144922844000001</v>
      </c>
      <c r="N30" s="13">
        <v>2.354739894223731</v>
      </c>
      <c r="O30" s="1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8"/>
    </row>
    <row r="31" spans="5:27" ht="15.75" customHeight="1" x14ac:dyDescent="0.25">
      <c r="E31" s="9"/>
      <c r="F31" s="7"/>
      <c r="G31" s="1"/>
      <c r="H31" s="1"/>
      <c r="I31" s="1"/>
      <c r="J31" s="1"/>
      <c r="K31" s="1"/>
      <c r="L31" s="1"/>
      <c r="M31" s="1"/>
      <c r="N31" s="1"/>
      <c r="O31" s="1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8"/>
    </row>
    <row r="32" spans="5:27" ht="15.75" customHeight="1" x14ac:dyDescent="0.25">
      <c r="E32" s="17"/>
      <c r="F32" s="18"/>
      <c r="G32" s="19"/>
      <c r="H32" s="19"/>
      <c r="I32" s="19"/>
      <c r="J32" s="19"/>
      <c r="K32" s="19"/>
      <c r="L32" s="19"/>
      <c r="M32" s="19"/>
      <c r="N32" s="19"/>
      <c r="O32" s="19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20"/>
    </row>
    <row r="33" spans="7:16" ht="15.75" customHeight="1" x14ac:dyDescent="0.25">
      <c r="G33" s="1"/>
      <c r="H33" s="1"/>
      <c r="I33" s="1"/>
      <c r="J33" s="1"/>
      <c r="K33" s="1"/>
      <c r="L33" s="1"/>
      <c r="M33" s="1"/>
      <c r="N33" s="1"/>
      <c r="O33" s="1"/>
    </row>
    <row r="34" spans="7:16" ht="15.75" customHeight="1" x14ac:dyDescent="0.25">
      <c r="G34" s="1"/>
      <c r="H34" s="1"/>
      <c r="I34" s="1"/>
      <c r="J34" s="1"/>
      <c r="K34" s="1"/>
      <c r="L34" s="1"/>
      <c r="M34" s="1"/>
      <c r="N34" s="1"/>
      <c r="O34" s="1"/>
    </row>
    <row r="35" spans="7:16" ht="15.75" customHeight="1" x14ac:dyDescent="0.25">
      <c r="G35" s="1"/>
      <c r="H35" s="1"/>
      <c r="I35" s="1"/>
      <c r="J35" s="1"/>
      <c r="K35" s="1"/>
      <c r="L35" s="1"/>
      <c r="M35" s="1"/>
      <c r="N35" s="1"/>
      <c r="O35" s="1"/>
    </row>
    <row r="36" spans="7:16" ht="15.75" customHeight="1" x14ac:dyDescent="0.25">
      <c r="G36" s="1"/>
      <c r="H36" s="1"/>
      <c r="I36" s="1"/>
      <c r="J36" s="1"/>
      <c r="K36" s="1"/>
      <c r="L36" s="1"/>
      <c r="M36" s="1"/>
      <c r="N36" s="1"/>
      <c r="O36" s="1"/>
    </row>
    <row r="37" spans="7:16" ht="15.75" customHeight="1" x14ac:dyDescent="0.25"/>
    <row r="38" spans="7:16" ht="15.75" customHeight="1" x14ac:dyDescent="0.25">
      <c r="G38" s="1" t="e">
        <f t="array" aca="1" ref="G38:N44" ca="1">G14:N20-ANCHORARRAY(G24)</f>
        <v>#NAME?</v>
      </c>
      <c r="H38" s="21" t="e">
        <f ca="1"/>
        <v>#NAME?</v>
      </c>
      <c r="I38" s="21" t="e">
        <f ca="1"/>
        <v>#NAME?</v>
      </c>
      <c r="J38" s="21" t="e">
        <f ca="1"/>
        <v>#NAME?</v>
      </c>
      <c r="K38" s="21" t="e">
        <f ca="1"/>
        <v>#NAME?</v>
      </c>
      <c r="L38" s="21" t="e">
        <f ca="1"/>
        <v>#NAME?</v>
      </c>
      <c r="M38" s="21" t="e">
        <f ca="1"/>
        <v>#NAME?</v>
      </c>
      <c r="N38" s="21" t="e">
        <f ca="1"/>
        <v>#NAME?</v>
      </c>
      <c r="P38" s="1" t="e">
        <f t="shared" ref="P38:P44" ca="1" si="0">G38*G38+H38*H38+I38*I38+J38*J38+K38*K38+L38*L38+M38*M38+N38*N38</f>
        <v>#NAME?</v>
      </c>
    </row>
    <row r="39" spans="7:16" ht="15.75" customHeight="1" x14ac:dyDescent="0.25">
      <c r="G39" s="21" t="e">
        <f ca="1"/>
        <v>#NAME?</v>
      </c>
      <c r="H39" s="21" t="e">
        <f ca="1"/>
        <v>#NAME?</v>
      </c>
      <c r="I39" s="21" t="e">
        <f ca="1"/>
        <v>#NAME?</v>
      </c>
      <c r="J39" s="21" t="e">
        <f ca="1"/>
        <v>#NAME?</v>
      </c>
      <c r="K39" s="21" t="e">
        <f ca="1"/>
        <v>#NAME?</v>
      </c>
      <c r="L39" s="21" t="e">
        <f ca="1"/>
        <v>#NAME?</v>
      </c>
      <c r="M39" s="21" t="e">
        <f ca="1"/>
        <v>#NAME?</v>
      </c>
      <c r="N39" s="21" t="e">
        <f ca="1"/>
        <v>#NAME?</v>
      </c>
      <c r="P39" s="1" t="e">
        <f t="shared" ca="1" si="0"/>
        <v>#NAME?</v>
      </c>
    </row>
    <row r="40" spans="7:16" ht="15.75" customHeight="1" x14ac:dyDescent="0.25">
      <c r="G40" s="21" t="e">
        <f ca="1"/>
        <v>#NAME?</v>
      </c>
      <c r="H40" s="21" t="e">
        <f ca="1"/>
        <v>#NAME?</v>
      </c>
      <c r="I40" s="21" t="e">
        <f ca="1"/>
        <v>#NAME?</v>
      </c>
      <c r="J40" s="21" t="e">
        <f ca="1"/>
        <v>#NAME?</v>
      </c>
      <c r="K40" s="21" t="e">
        <f ca="1"/>
        <v>#NAME?</v>
      </c>
      <c r="L40" s="21" t="e">
        <f ca="1"/>
        <v>#NAME?</v>
      </c>
      <c r="M40" s="21" t="e">
        <f ca="1"/>
        <v>#NAME?</v>
      </c>
      <c r="N40" s="21" t="e">
        <f ca="1"/>
        <v>#NAME?</v>
      </c>
      <c r="P40" s="1" t="e">
        <f t="shared" ca="1" si="0"/>
        <v>#NAME?</v>
      </c>
    </row>
    <row r="41" spans="7:16" ht="15.75" customHeight="1" x14ac:dyDescent="0.25">
      <c r="G41" s="21" t="e">
        <f ca="1"/>
        <v>#NAME?</v>
      </c>
      <c r="H41" s="21" t="e">
        <f ca="1"/>
        <v>#NAME?</v>
      </c>
      <c r="I41" s="21" t="e">
        <f ca="1"/>
        <v>#NAME?</v>
      </c>
      <c r="J41" s="21" t="e">
        <f ca="1"/>
        <v>#NAME?</v>
      </c>
      <c r="K41" s="21" t="e">
        <f ca="1"/>
        <v>#NAME?</v>
      </c>
      <c r="L41" s="21" t="e">
        <f ca="1"/>
        <v>#NAME?</v>
      </c>
      <c r="M41" s="21" t="e">
        <f ca="1"/>
        <v>#NAME?</v>
      </c>
      <c r="N41" s="21" t="e">
        <f ca="1"/>
        <v>#NAME?</v>
      </c>
      <c r="P41" s="1" t="e">
        <f t="shared" ca="1" si="0"/>
        <v>#NAME?</v>
      </c>
    </row>
    <row r="42" spans="7:16" ht="15.75" customHeight="1" x14ac:dyDescent="0.25">
      <c r="G42" s="21" t="e">
        <f ca="1"/>
        <v>#NAME?</v>
      </c>
      <c r="H42" s="21" t="e">
        <f ca="1"/>
        <v>#NAME?</v>
      </c>
      <c r="I42" s="21" t="e">
        <f ca="1"/>
        <v>#NAME?</v>
      </c>
      <c r="J42" s="21" t="e">
        <f ca="1"/>
        <v>#NAME?</v>
      </c>
      <c r="K42" s="21" t="e">
        <f ca="1"/>
        <v>#NAME?</v>
      </c>
      <c r="L42" s="21" t="e">
        <f ca="1"/>
        <v>#NAME?</v>
      </c>
      <c r="M42" s="21" t="e">
        <f ca="1"/>
        <v>#NAME?</v>
      </c>
      <c r="N42" s="21" t="e">
        <f ca="1"/>
        <v>#NAME?</v>
      </c>
      <c r="P42" s="1" t="e">
        <f t="shared" ca="1" si="0"/>
        <v>#NAME?</v>
      </c>
    </row>
    <row r="43" spans="7:16" ht="15.75" customHeight="1" x14ac:dyDescent="0.25">
      <c r="G43" s="21" t="e">
        <f ca="1"/>
        <v>#NAME?</v>
      </c>
      <c r="H43" s="21" t="e">
        <f ca="1"/>
        <v>#NAME?</v>
      </c>
      <c r="I43" s="21" t="e">
        <f ca="1"/>
        <v>#NAME?</v>
      </c>
      <c r="J43" s="21" t="e">
        <f ca="1"/>
        <v>#NAME?</v>
      </c>
      <c r="K43" s="21" t="e">
        <f ca="1"/>
        <v>#NAME?</v>
      </c>
      <c r="L43" s="21" t="e">
        <f ca="1"/>
        <v>#NAME?</v>
      </c>
      <c r="M43" s="21" t="e">
        <f ca="1"/>
        <v>#NAME?</v>
      </c>
      <c r="N43" s="21" t="e">
        <f ca="1"/>
        <v>#NAME?</v>
      </c>
      <c r="P43" s="1" t="e">
        <f t="shared" ca="1" si="0"/>
        <v>#NAME?</v>
      </c>
    </row>
    <row r="44" spans="7:16" ht="15.75" customHeight="1" x14ac:dyDescent="0.25">
      <c r="G44" s="21" t="e">
        <f ca="1"/>
        <v>#NAME?</v>
      </c>
      <c r="H44" s="21" t="e">
        <f ca="1"/>
        <v>#NAME?</v>
      </c>
      <c r="I44" s="21" t="e">
        <f ca="1"/>
        <v>#NAME?</v>
      </c>
      <c r="J44" s="21" t="e">
        <f ca="1"/>
        <v>#NAME?</v>
      </c>
      <c r="K44" s="21" t="e">
        <f ca="1"/>
        <v>#NAME?</v>
      </c>
      <c r="L44" s="21" t="e">
        <f ca="1"/>
        <v>#NAME?</v>
      </c>
      <c r="M44" s="21" t="e">
        <f ca="1"/>
        <v>#NAME?</v>
      </c>
      <c r="N44" s="21" t="e">
        <f ca="1"/>
        <v>#NAME?</v>
      </c>
      <c r="P44" s="1" t="e">
        <f t="shared" ca="1" si="0"/>
        <v>#NAME?</v>
      </c>
    </row>
    <row r="45" spans="7:16" ht="15.75" customHeight="1" x14ac:dyDescent="0.25">
      <c r="P45" s="1" t="e">
        <f ca="1">SQRT(SUM(P38:P44))</f>
        <v>#NAME?</v>
      </c>
    </row>
    <row r="46" spans="7:16" ht="15.75" customHeight="1" x14ac:dyDescent="0.25"/>
    <row r="47" spans="7:16" ht="15.75" customHeight="1" x14ac:dyDescent="0.25"/>
    <row r="48" spans="7:1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R25:U25"/>
    <mergeCell ref="G9:Z9"/>
    <mergeCell ref="G12:N12"/>
    <mergeCell ref="P12:Q12"/>
    <mergeCell ref="S12:Z12"/>
    <mergeCell ref="G22:N22"/>
    <mergeCell ref="R22:U2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1:O1000"/>
  <sheetViews>
    <sheetView workbookViewId="0"/>
  </sheetViews>
  <sheetFormatPr defaultColWidth="11.25" defaultRowHeight="15" customHeight="1" x14ac:dyDescent="0.25"/>
  <cols>
    <col min="1" max="26" width="10.5" customWidth="1"/>
  </cols>
  <sheetData>
    <row r="1" spans="5:15" ht="15.75" customHeight="1" x14ac:dyDescent="0.25"/>
    <row r="2" spans="5:15" ht="15.75" customHeight="1" x14ac:dyDescent="0.25"/>
    <row r="3" spans="5:15" ht="15.75" customHeight="1" x14ac:dyDescent="0.25"/>
    <row r="4" spans="5:15" ht="15.75" customHeight="1" x14ac:dyDescent="0.25"/>
    <row r="5" spans="5:15" ht="15.75" customHeight="1" x14ac:dyDescent="0.25">
      <c r="E5" s="21" t="e">
        <f t="array" aca="1" ref="E5" ca="1">_xludf.RANDARRAY(5,7,1,10,TRUE)</f>
        <v>#NAME?</v>
      </c>
    </row>
    <row r="6" spans="5:15" ht="15.75" customHeight="1" x14ac:dyDescent="0.25"/>
    <row r="7" spans="5:15" ht="15.75" customHeight="1" x14ac:dyDescent="0.25"/>
    <row r="8" spans="5:15" ht="15.75" customHeight="1" x14ac:dyDescent="0.25"/>
    <row r="9" spans="5:15" ht="15.75" customHeight="1" x14ac:dyDescent="0.25"/>
    <row r="10" spans="5:15" ht="15.75" customHeight="1" x14ac:dyDescent="0.25"/>
    <row r="11" spans="5:15" ht="15.75" customHeight="1" x14ac:dyDescent="0.25"/>
    <row r="12" spans="5:15" ht="15.75" customHeight="1" x14ac:dyDescent="0.25"/>
    <row r="13" spans="5:15" ht="15.75" customHeight="1" x14ac:dyDescent="0.25">
      <c r="E13" s="21" t="e">
        <f t="array" aca="1" ref="E13" ca="1">_xludf.RANDARRAY(5,3,1,10,TRUE)</f>
        <v>#NAME?</v>
      </c>
      <c r="O13" s="21" t="e">
        <f t="array" aca="1" ref="O13" ca="1">MMULT(ANCHORARRAY(E13),ANCHORARRAY(E19))</f>
        <v>#NAME?</v>
      </c>
    </row>
    <row r="14" spans="5:15" ht="15.75" customHeight="1" x14ac:dyDescent="0.25"/>
    <row r="15" spans="5:15" ht="15.75" customHeight="1" x14ac:dyDescent="0.25"/>
    <row r="16" spans="5:15" ht="15.75" customHeight="1" x14ac:dyDescent="0.25"/>
    <row r="17" spans="5:15" ht="15.75" customHeight="1" x14ac:dyDescent="0.25"/>
    <row r="18" spans="5:15" ht="15.75" customHeight="1" x14ac:dyDescent="0.25"/>
    <row r="19" spans="5:15" ht="15.75" customHeight="1" x14ac:dyDescent="0.25">
      <c r="E19" s="21" t="e">
        <f t="array" aca="1" ref="E19" ca="1">_xludf.RANDARRAY(3,7,1,10,TRUE)</f>
        <v>#NAME?</v>
      </c>
    </row>
    <row r="20" spans="5:15" ht="15.75" customHeight="1" x14ac:dyDescent="0.25"/>
    <row r="21" spans="5:15" ht="15.75" customHeight="1" x14ac:dyDescent="0.25"/>
    <row r="22" spans="5:15" ht="15.75" customHeight="1" x14ac:dyDescent="0.25">
      <c r="O22" s="21" t="e">
        <f t="array" aca="1" ref="O22" ca="1">ANCHORARRAY(E5)-ANCHORARRAY(O13)</f>
        <v>#NAME?</v>
      </c>
    </row>
    <row r="23" spans="5:15" ht="15.75" customHeight="1" x14ac:dyDescent="0.25"/>
    <row r="24" spans="5:15" ht="15.75" customHeight="1" x14ac:dyDescent="0.25"/>
    <row r="25" spans="5:15" ht="15.75" customHeight="1" x14ac:dyDescent="0.25"/>
    <row r="26" spans="5:15" ht="15.75" customHeight="1" x14ac:dyDescent="0.25"/>
    <row r="27" spans="5:15" ht="15.75" customHeight="1" x14ac:dyDescent="0.25"/>
    <row r="28" spans="5:15" ht="15.75" customHeight="1" x14ac:dyDescent="0.25"/>
    <row r="29" spans="5:15" ht="15.75" customHeight="1" x14ac:dyDescent="0.25"/>
    <row r="30" spans="5:15" ht="15.75" customHeight="1" x14ac:dyDescent="0.25"/>
    <row r="31" spans="5:15" ht="15.75" customHeight="1" x14ac:dyDescent="0.25"/>
    <row r="32" spans="5:1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NMF_demo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Arnab Biswas</cp:lastModifiedBy>
  <dcterms:modified xsi:type="dcterms:W3CDTF">2025-04-27T08:30:38Z</dcterms:modified>
</cp:coreProperties>
</file>